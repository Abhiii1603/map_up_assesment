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asus\Downloads\MapUp-Data-Assessment-abhishek\"/>
    </mc:Choice>
  </mc:AlternateContent>
  <bookViews>
    <workbookView xWindow="0" yWindow="495" windowWidth="28800" windowHeight="1125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0" i="20" l="1"/>
  <c r="T11" i="20"/>
  <c r="T12" i="20"/>
  <c r="T13" i="20"/>
  <c r="T14" i="20"/>
  <c r="T15" i="20"/>
  <c r="T16" i="20"/>
  <c r="T17" i="20"/>
  <c r="T18" i="20"/>
  <c r="T19" i="20"/>
  <c r="T20" i="20"/>
  <c r="T21" i="20"/>
  <c r="T22" i="20"/>
  <c r="T10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C22" i="19"/>
  <c r="C29" i="18"/>
  <c r="D29" i="18"/>
  <c r="E29" i="18"/>
  <c r="F29" i="18"/>
  <c r="B29" i="18"/>
  <c r="C28" i="18"/>
  <c r="D28" i="18"/>
  <c r="E28" i="18"/>
  <c r="F28" i="18"/>
  <c r="B28" i="18"/>
  <c r="C30" i="18"/>
  <c r="D30" i="18"/>
  <c r="E30" i="18"/>
  <c r="F30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26" i="18"/>
  <c r="C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B6" i="18"/>
  <c r="B27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8" i="18"/>
  <c r="B7" i="18"/>
  <c r="H41" i="1" l="1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<sst xmlns="http://schemas.openxmlformats.org/spreadsheetml/2006/main" count="403" uniqueCount="180">
  <si>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</si>
  <si>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</si>
  <si>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</si>
  <si>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</si>
  <si>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</si>
  <si>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</si>
  <si>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</si>
  <si>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</si>
  <si>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</si>
  <si>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</si>
  <si>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</si>
  <si>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</si>
  <si>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</si>
  <si>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</si>
  <si>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</si>
  <si>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</si>
  <si>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</si>
  <si>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</si>
  <si>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</si>
  <si>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</si>
  <si>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</si>
  <si>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</si>
  <si>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</si>
  <si>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</si>
  <si>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</si>
  <si>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</si>
  <si>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</si>
  <si>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</si>
  <si>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</si>
  <si>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</si>
  <si>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</si>
  <si>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</si>
  <si>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</si>
  <si>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</si>
  <si>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</si>
  <si>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</si>
  <si>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</si>
  <si>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</si>
  <si>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</si>
  <si>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</si>
  <si>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</si>
  <si>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</si>
  <si>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</si>
  <si>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</si>
  <si>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</si>
  <si>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</si>
  <si>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</si>
  <si>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</si>
  <si>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</si>
  <si>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</si>
  <si>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</si>
  <si>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</si>
  <si>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</si>
  <si>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</si>
  <si>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</si>
  <si>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</si>
  <si>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</si>
  <si>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</si>
  <si>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</si>
  <si>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</si>
  <si>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</si>
  <si>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</si>
  <si>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</si>
  <si>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</si>
  <si>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</si>
  <si>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</si>
  <si>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</si>
  <si>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</si>
  <si>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</si>
  <si>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</si>
  <si>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</si>
  <si>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</si>
  <si>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</si>
  <si>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</si>
  <si>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</si>
  <si>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</si>
  <si>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</si>
  <si>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</si>
  <si>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</si>
  <si>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</si>
  <si>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</si>
  <si>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</si>
  <si>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</si>
  <si>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</si>
  <si>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</si>
  <si>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</si>
  <si>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</si>
  <si>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</si>
  <si>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</si>
  <si>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</si>
  <si>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</si>
  <si>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</si>
  <si>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</si>
  <si>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</si>
  <si>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</si>
  <si>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</si>
  <si>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</si>
  <si>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</si>
  <si>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</si>
  <si>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</si>
  <si>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</si>
  <si>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</si>
  <si>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</si>
  <si>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</si>
  <si>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</si>
  <si>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</si>
  <si>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</si>
  <si>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</si>
  <si>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</si>
  <si>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</si>
  <si>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</si>
  <si>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</si>
  <si>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</si>
  <si>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</si>
  <si>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</si>
  <si>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</si>
  <si>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</si>
  <si>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</si>
  <si>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</si>
  <si>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</si>
  <si>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</si>
  <si>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</si>
  <si>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</si>
  <si>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</si>
  <si>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</si>
  <si>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</si>
  <si>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</si>
  <si>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</si>
  <si>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</si>
  <si>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</si>
  <si>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</si>
  <si>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</si>
  <si>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</si>
  <si>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</si>
  <si>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</si>
  <si>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</si>
  <si>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</si>
  <si>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</si>
  <si>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</si>
  <si>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</si>
  <si>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</si>
  <si>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</si>
  <si>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</si>
  <si>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</si>
  <si>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</si>
  <si>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</si>
  <si>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</si>
  <si>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</si>
  <si>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</si>
  <si>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</si>
  <si>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</si>
  <si>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</si>
  <si>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</si>
  <si>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</si>
  <si>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</si>
  <si>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</si>
  <si>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</si>
  <si>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</si>
  <si>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</si>
  <si>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</si>
  <si>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</si>
  <si>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</si>
  <si>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</si>
  <si>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</si>
  <si>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</si>
  <si>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</si>
  <si>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</si>
  <si>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</si>
  <si>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</si>
  <si>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</si>
  <si>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</si>
  <si>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</si>
  <si>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</si>
  <si>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</si>
  <si>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</si>
  <si>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</si>
  <si>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</si>
  <si>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formula=SUMIFS( H:H, "&gt;20")
1473</t>
  </si>
  <si>
    <r>
      <rPr>
        <b/>
        <sz val="11"/>
        <color rgb="FF000000"/>
        <rFont val="Calibri"/>
        <family val="2"/>
        <scheme val="minor"/>
      </rPr>
      <t>if</t>
    </r>
    <r>
      <rPr>
        <sz val="11"/>
        <color rgb="FF000000"/>
        <rFont val="Calibri"/>
        <family val="2"/>
        <scheme val="minor"/>
      </rPr>
      <t xml:space="preserve"> is used with </t>
    </r>
    <r>
      <rPr>
        <b/>
        <sz val="11"/>
        <color rgb="FF000000"/>
        <rFont val="Calibri"/>
        <family val="2"/>
        <scheme val="minor"/>
      </rPr>
      <t>na</t>
    </r>
    <r>
      <rPr>
        <sz val="11"/>
        <color rgb="FF000000"/>
        <rFont val="Calibri"/>
        <family val="2"/>
        <scheme val="minor"/>
      </rPr>
      <t xml:space="preserve"> fuction here </t>
    </r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</si>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</sst>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14" fillId="0" borderId="0" xfId="0" applyFont="1" applyAlignment="1">
      <alignment wrapText="1"/>
    </xf>
    <xf numFmtId="0" fontId="3" fillId="6" borderId="0" xfId="0" applyFont="1" applyFill="1"/>
    <xf numFmtId="0" fontId="8" fillId="6" borderId="0" xfId="0" applyFont="1" applyFill="1"/>
    <xf numFmtId="0" fontId="9" fillId="0" borderId="11" xfId="0" applyFont="1" applyBorder="1"/>
    <xf numFmtId="0" fontId="9" fillId="0" borderId="6" xfId="0" applyFont="1" applyBorder="1"/>
    <xf numFmtId="0" fontId="9" fillId="0" borderId="8" xfId="0" applyFont="1" applyBorder="1"/>
    <xf numFmtId="0" fontId="9" fillId="0" borderId="4" xfId="0" applyFont="1" applyBorder="1"/>
    <xf numFmtId="0" fontId="9" fillId="0" borderId="12" xfId="0" applyFont="1" applyBorder="1"/>
    <xf numFmtId="0" fontId="8" fillId="0" borderId="13" xfId="0" applyFont="1" applyBorder="1"/>
    <xf numFmtId="0" fontId="8" fillId="0" borderId="14" xfId="0" applyFont="1" applyBorder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22">
    <dxf>
      <font>
        <color rgb="FF00B050"/>
      </font>
    </dxf>
    <dxf>
      <font>
        <color rgb="FF00B050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9:J18" totalsRowShown="0" headerRowDxfId="5" dataDxfId="6" headerRowBorderDxfId="18" tableBorderDxfId="19" totalsRowBorderDxfId="17">
  <autoFilter ref="A9:J18"/>
  <tableColumns count="10">
    <tableColumn id="1" name="Column1" dataDxfId="16"/>
    <tableColumn id="2" name="A" dataDxfId="15"/>
    <tableColumn id="3" name="B" dataDxfId="14"/>
    <tableColumn id="4" name="C" dataDxfId="13"/>
    <tableColumn id="5" name="D" dataDxfId="12"/>
    <tableColumn id="6" name="E" dataDxfId="11"/>
    <tableColumn id="7" name="F" dataDxfId="10"/>
    <tableColumn id="8" name="G" dataDxfId="9"/>
    <tableColumn id="9" name="H" dataDxfId="8"/>
    <tableColumn id="10" name="I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6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1"/>
  <sheetViews>
    <sheetView zoomScale="99" zoomScaleNormal="100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6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5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1" spans="1:24" x14ac:dyDescent="0.25">
      <c r="H41" s="5">
        <f>SUMIF(H2:H40, "&gt;20")</f>
        <v>1473.0000000000002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A1:X40">
    <cfRule type="cellIs" dxfId="2" priority="2" operator="equal">
      <formula>-1</formula>
    </cfRule>
  </conditionalFormatting>
  <conditionalFormatting sqref="G46:X1048576 G45:H45 J45:X45 G1:X44"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5" sqref="C5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ht="39" x14ac:dyDescent="0.25">
      <c r="A5" s="6">
        <v>3</v>
      </c>
      <c r="B5" s="2" t="s">
        <v>104</v>
      </c>
      <c r="C5" s="47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conditionalFormatting sqref="D5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="130" zoomScaleNormal="130" workbookViewId="0">
      <selection activeCell="H26" sqref="H26"/>
    </sheetView>
  </sheetViews>
  <sheetFormatPr defaultColWidth="11" defaultRowHeight="12.75" x14ac:dyDescent="0.2"/>
  <cols>
    <col min="1" max="1" width="22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162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VLOOKUP($A6, Dataset!$A$1:$X$40, MATCH("car1", Dataset!$A$1:$X$1, 0), 0)</f>
        <v>2.7</v>
      </c>
      <c r="C6" s="12">
        <f>VLOOKUP($A6, Dataset!$A$1:$X$40, MATCH("bus2", Dataset!$A$1:$X$1, 0), 0)</f>
        <v>7.6</v>
      </c>
      <c r="D6" s="12">
        <f>VLOOKUP($A6, Dataset!$A$1:$X$40, MATCH("rv3", Dataset!$A$1:$X$1, 0), 0)</f>
        <v>4.2</v>
      </c>
      <c r="E6" s="12">
        <f>VLOOKUP($A6, Dataset!$A$1:$X$40, MATCH("taxi2", Dataset!$A$1:$X$1, 0), 0)</f>
        <v>4.2</v>
      </c>
      <c r="F6" s="12">
        <f>VLOOKUP($A6, Dataset!$A$1:$X$40, MATCH("taxi2", Dataset!$A$1:$X$1, 0), 0)</f>
        <v>4.2</v>
      </c>
    </row>
    <row r="7" spans="1:7" ht="15" x14ac:dyDescent="0.25">
      <c r="A7" s="7" t="s">
        <v>4</v>
      </c>
      <c r="B7" s="12">
        <f>VLOOKUP(A7, Dataset!$A$1:$X$40, MATCH("car1", Dataset!$A$1:$X$1, 0), 0)</f>
        <v>2.7</v>
      </c>
      <c r="C7" s="12">
        <f>VLOOKUP($A7, Dataset!$A$1:$X$40, MATCH("bus2", Dataset!$A$1:$X$1, 0), 0)</f>
        <v>7.6</v>
      </c>
      <c r="D7" s="12">
        <f>VLOOKUP($A7, Dataset!$A$1:$X$40, MATCH("rv3", Dataset!$A$1:$X$1, 0), 0)</f>
        <v>4.2</v>
      </c>
      <c r="E7" s="12">
        <f>VLOOKUP($A7, Dataset!$A$1:$X$40, MATCH("truck2", Dataset!$A$1:$X$1, 0), 0)</f>
        <v>8.9</v>
      </c>
      <c r="F7" s="12">
        <f>VLOOKUP($A7, Dataset!$A$1:$X$40, MATCH("taxi2", Dataset!$A$1:$X$1, 0), 0)</f>
        <v>4.2</v>
      </c>
    </row>
    <row r="8" spans="1:7" ht="15" x14ac:dyDescent="0.25">
      <c r="A8" s="7" t="s">
        <v>7</v>
      </c>
      <c r="B8" s="12">
        <f>VLOOKUP(A8, Dataset!$A$1:$X$40, MATCH("car1", Dataset!$A$1:$X$1, 0), 0)</f>
        <v>3.6</v>
      </c>
      <c r="C8" s="12">
        <f>VLOOKUP($A8, Dataset!$A$1:$X$40, MATCH("bus2", Dataset!$A$1:$X$1, 0), 0)</f>
        <v>11.1</v>
      </c>
      <c r="D8" s="12">
        <f>VLOOKUP($A8, Dataset!$A$1:$X$40, MATCH("rv3", Dataset!$A$1:$X$1, 0), 0)</f>
        <v>5.8</v>
      </c>
      <c r="E8" s="12">
        <f>VLOOKUP($A8, Dataset!$A$1:$X$40, MATCH("truck2", Dataset!$A$1:$X$1, 0), 0)</f>
        <v>12.2</v>
      </c>
      <c r="F8" s="12">
        <f>VLOOKUP($A8, Dataset!$A$1:$X$40, MATCH("taxi2", Dataset!$A$1:$X$1, 0), 0)</f>
        <v>5.8</v>
      </c>
    </row>
    <row r="9" spans="1:7" ht="15" x14ac:dyDescent="0.25">
      <c r="A9" s="7" t="s">
        <v>8</v>
      </c>
      <c r="B9" s="12">
        <f>VLOOKUP(A9, Dataset!$A$1:$X$40, MATCH("car1", Dataset!$A$1:$X$1, 0), 0)</f>
        <v>4.9000000000000004</v>
      </c>
      <c r="C9" s="12">
        <f>VLOOKUP($A9, Dataset!$A$1:$X$40, MATCH("bus2", Dataset!$A$1:$X$1, 0), 0)</f>
        <v>13.3</v>
      </c>
      <c r="D9" s="12">
        <f>VLOOKUP($A9, Dataset!$A$1:$X$40, MATCH("rv3", Dataset!$A$1:$X$1, 0), 0)</f>
        <v>8.1</v>
      </c>
      <c r="E9" s="12">
        <f>VLOOKUP($A9, Dataset!$A$1:$X$40, MATCH("truck2", Dataset!$A$1:$X$1, 0), 0)</f>
        <v>17</v>
      </c>
      <c r="F9" s="12">
        <f>VLOOKUP($A9, Dataset!$A$1:$X$40, MATCH("taxi2", Dataset!$A$1:$X$1, 0), 0)</f>
        <v>8.1</v>
      </c>
    </row>
    <row r="10" spans="1:7" ht="15" x14ac:dyDescent="0.25">
      <c r="A10" s="7" t="s">
        <v>11</v>
      </c>
      <c r="B10" s="12">
        <f>VLOOKUP(A10, Dataset!$A$1:$X$40, MATCH("car1", Dataset!$A$1:$X$1, 0), 0)</f>
        <v>9.4</v>
      </c>
      <c r="C10" s="12">
        <f>VLOOKUP($A10, Dataset!$A$1:$X$40, MATCH("bus2", Dataset!$A$1:$X$1, 0), 0)</f>
        <v>28.3</v>
      </c>
      <c r="D10" s="12">
        <f>VLOOKUP($A10, Dataset!$A$1:$X$40, MATCH("rv3", Dataset!$A$1:$X$1, 0), 0)</f>
        <v>16.100000000000001</v>
      </c>
      <c r="E10" s="12">
        <f>VLOOKUP($A10, Dataset!$A$1:$X$40, MATCH("truck2", Dataset!$A$1:$X$1, 0), 0)</f>
        <v>32.799999999999997</v>
      </c>
      <c r="F10" s="12">
        <f>VLOOKUP($A10, Dataset!$A$1:$X$40, MATCH("taxi2", Dataset!$A$1:$X$1, 0), 0)</f>
        <v>16.100000000000001</v>
      </c>
    </row>
    <row r="11" spans="1:7" ht="15" x14ac:dyDescent="0.25">
      <c r="A11" s="7" t="s">
        <v>12</v>
      </c>
      <c r="B11" s="12">
        <f>VLOOKUP(A11, Dataset!$A$1:$X$40, MATCH("car1", Dataset!$A$1:$X$1, 0), 0)</f>
        <v>11.6</v>
      </c>
      <c r="C11" s="12">
        <f>VLOOKUP($A11, Dataset!$A$1:$X$40, MATCH("bus2", Dataset!$A$1:$X$1, 0), 0)</f>
        <v>35.200000000000003</v>
      </c>
      <c r="D11" s="12">
        <f>VLOOKUP($A11, Dataset!$A$1:$X$40, MATCH("rv3", Dataset!$A$1:$X$1, 0), 0)</f>
        <v>21.3</v>
      </c>
      <c r="E11" s="12">
        <f>VLOOKUP($A11, Dataset!$A$1:$X$40, MATCH("truck2", Dataset!$A$1:$X$1, 0), 0)</f>
        <v>43</v>
      </c>
      <c r="F11" s="12">
        <f>VLOOKUP($A11, Dataset!$A$1:$X$40, MATCH("taxi2", Dataset!$A$1:$X$1, 0), 0)</f>
        <v>21.3</v>
      </c>
    </row>
    <row r="12" spans="1:7" ht="15" x14ac:dyDescent="0.25">
      <c r="A12" s="7" t="s">
        <v>14</v>
      </c>
      <c r="B12" s="12">
        <f>VLOOKUP(A12, Dataset!$A$1:$X$40, MATCH("car1", Dataset!$A$1:$X$1, 0), 0)</f>
        <v>18.399999999999999</v>
      </c>
      <c r="C12" s="12">
        <f>VLOOKUP($A12, Dataset!$A$1:$X$40, MATCH("bus2", Dataset!$A$1:$X$1, 0), 0)</f>
        <v>55.6</v>
      </c>
      <c r="D12" s="12">
        <f>VLOOKUP($A12, Dataset!$A$1:$X$40, MATCH("rv3", Dataset!$A$1:$X$1, 0), 0)</f>
        <v>33.799999999999997</v>
      </c>
      <c r="E12" s="12">
        <f>VLOOKUP($A12, Dataset!$A$1:$X$40, MATCH("truck2", Dataset!$A$1:$X$1, 0), 0)</f>
        <v>67.900000000000006</v>
      </c>
      <c r="F12" s="12">
        <f>VLOOKUP($A12, Dataset!$A$1:$X$40, MATCH("taxi2", Dataset!$A$1:$X$1, 0), 0)</f>
        <v>33.799999999999997</v>
      </c>
    </row>
    <row r="13" spans="1:7" ht="15" x14ac:dyDescent="0.25">
      <c r="A13" s="7" t="s">
        <v>15</v>
      </c>
      <c r="B13" s="12">
        <f>VLOOKUP(A13, Dataset!$A$1:$X$40, MATCH("car1", Dataset!$A$1:$X$1, 0), 0)</f>
        <v>0</v>
      </c>
      <c r="C13" s="12">
        <f>VLOOKUP($A13, Dataset!$A$1:$X$40, MATCH("bus2", Dataset!$A$1:$X$1, 0), 0)</f>
        <v>0</v>
      </c>
      <c r="D13" s="12">
        <f>VLOOKUP($A13, Dataset!$A$1:$X$40, MATCH("rv3", Dataset!$A$1:$X$1, 0), 0)</f>
        <v>0</v>
      </c>
      <c r="E13" s="12">
        <f>VLOOKUP($A13, Dataset!$A$1:$X$40, MATCH("truck2", Dataset!$A$1:$X$1, 0), 0)</f>
        <v>0</v>
      </c>
      <c r="F13" s="12">
        <f>VLOOKUP($A13, Dataset!$A$1:$X$40, MATCH("taxi2", Dataset!$A$1:$X$1, 0), 0)</f>
        <v>0</v>
      </c>
    </row>
    <row r="14" spans="1:7" ht="15" x14ac:dyDescent="0.25">
      <c r="A14" s="7" t="s">
        <v>16</v>
      </c>
      <c r="B14" s="12">
        <f>VLOOKUP(A14, Dataset!$A$1:$X$40, MATCH("car1", Dataset!$A$1:$X$1, 0), 0)</f>
        <v>21.9</v>
      </c>
      <c r="C14" s="12">
        <f>VLOOKUP($A14, Dataset!$A$1:$X$40, MATCH("bus2", Dataset!$A$1:$X$1, 0), 0)</f>
        <v>61.5</v>
      </c>
      <c r="D14" s="12">
        <f>VLOOKUP($A14, Dataset!$A$1:$X$40, MATCH("rv3", Dataset!$A$1:$X$1, 0), 0)</f>
        <v>40.1</v>
      </c>
      <c r="E14" s="12">
        <f>VLOOKUP($A14, Dataset!$A$1:$X$40, MATCH("truck2", Dataset!$A$1:$X$1, 0), 0)</f>
        <v>76.599999999999994</v>
      </c>
      <c r="F14" s="12">
        <f>VLOOKUP($A14, Dataset!$A$1:$X$40, MATCH("taxi2", Dataset!$A$1:$X$1, 0), 0)</f>
        <v>40.1</v>
      </c>
    </row>
    <row r="15" spans="1:7" ht="15" x14ac:dyDescent="0.25">
      <c r="A15" s="7" t="s">
        <v>18</v>
      </c>
      <c r="B15" s="12">
        <f>VLOOKUP(A15, Dataset!$A$1:$X$40, MATCH("car1", Dataset!$A$1:$X$1, 0), 0)</f>
        <v>26.8</v>
      </c>
      <c r="C15" s="12">
        <f>VLOOKUP($A15, Dataset!$A$1:$X$40, MATCH("bus2", Dataset!$A$1:$X$1, 0), 0)</f>
        <v>79.599999999999994</v>
      </c>
      <c r="D15" s="12">
        <f>VLOOKUP($A15, Dataset!$A$1:$X$40, MATCH("rv3", Dataset!$A$1:$X$1, 0), 0)</f>
        <v>47.9</v>
      </c>
      <c r="E15" s="12">
        <f>VLOOKUP($A15, Dataset!$A$1:$X$40, MATCH("truck2", Dataset!$A$1:$X$1, 0), 0)</f>
        <v>96.8</v>
      </c>
      <c r="F15" s="12">
        <f>VLOOKUP($A15, Dataset!$A$1:$X$40, MATCH("taxi2", Dataset!$A$1:$X$1, 0), 0)</f>
        <v>47.9</v>
      </c>
    </row>
    <row r="16" spans="1:7" ht="15" x14ac:dyDescent="0.25">
      <c r="A16" s="7" t="s">
        <v>20</v>
      </c>
      <c r="B16" s="12">
        <f>VLOOKUP(A16, Dataset!$A$1:$X$40, MATCH("car1", Dataset!$A$1:$X$1, 0), 0)</f>
        <v>28.5</v>
      </c>
      <c r="C16" s="12">
        <f>VLOOKUP($A16, Dataset!$A$1:$X$40, MATCH("bus2", Dataset!$A$1:$X$1, 0), 0)</f>
        <v>85.4</v>
      </c>
      <c r="D16" s="12">
        <f>VLOOKUP($A16, Dataset!$A$1:$X$40, MATCH("rv3", Dataset!$A$1:$X$1, 0), 0)</f>
        <v>52.3</v>
      </c>
      <c r="E16" s="12">
        <f>VLOOKUP($A16, Dataset!$A$1:$X$40, MATCH("truck2", Dataset!$A$1:$X$1, 0), 0)</f>
        <v>106.1</v>
      </c>
      <c r="F16" s="12">
        <f>VLOOKUP($A16, Dataset!$A$1:$X$40, MATCH("taxi2", Dataset!$A$1:$X$1, 0), 0)</f>
        <v>52.3</v>
      </c>
    </row>
    <row r="17" spans="1:6" ht="15" x14ac:dyDescent="0.25">
      <c r="A17" s="7" t="s">
        <v>22</v>
      </c>
      <c r="B17" s="12">
        <f>VLOOKUP(A17, Dataset!$A$1:$X$40, MATCH("car1", Dataset!$A$1:$X$1, 0), 0)</f>
        <v>30.7</v>
      </c>
      <c r="C17" s="12">
        <f>VLOOKUP($A17, Dataset!$A$1:$X$40, MATCH("bus2", Dataset!$A$1:$X$1, 0), 0)</f>
        <v>92.1</v>
      </c>
      <c r="D17" s="12">
        <f>VLOOKUP($A17, Dataset!$A$1:$X$40, MATCH("rv3", Dataset!$A$1:$X$1, 0), 0)</f>
        <v>57</v>
      </c>
      <c r="E17" s="12">
        <f>VLOOKUP($A17, Dataset!$A$1:$X$40, MATCH("truck2", Dataset!$A$1:$X$1, 0), 0)</f>
        <v>115.1</v>
      </c>
      <c r="F17" s="12">
        <f>VLOOKUP($A17, Dataset!$A$1:$X$40, MATCH("taxi2", Dataset!$A$1:$X$1, 0), 0)</f>
        <v>57</v>
      </c>
    </row>
    <row r="18" spans="1:6" ht="15" x14ac:dyDescent="0.25">
      <c r="A18" s="7" t="s">
        <v>23</v>
      </c>
      <c r="B18" s="12">
        <f>VLOOKUP(A18, Dataset!$A$1:$X$40, MATCH("car1", Dataset!$A$1:$X$1, 0), 0)</f>
        <v>33.799999999999997</v>
      </c>
      <c r="C18" s="12">
        <f>VLOOKUP($A18, Dataset!$A$1:$X$40, MATCH("bus2", Dataset!$A$1:$X$1, 0), 0)</f>
        <v>101.3</v>
      </c>
      <c r="D18" s="12">
        <f>VLOOKUP($A18, Dataset!$A$1:$X$40, MATCH("rv3", Dataset!$A$1:$X$1, 0), 0)</f>
        <v>61.4</v>
      </c>
      <c r="E18" s="12">
        <f>VLOOKUP($A18, Dataset!$A$1:$X$40, MATCH("truck2", Dataset!$A$1:$X$1, 0), 0)</f>
        <v>124.4</v>
      </c>
      <c r="F18" s="12">
        <f>VLOOKUP($A18, Dataset!$A$1:$X$40, MATCH("taxi2", Dataset!$A$1:$X$1, 0), 0)</f>
        <v>61.4</v>
      </c>
    </row>
    <row r="19" spans="1:6" ht="15" x14ac:dyDescent="0.25">
      <c r="A19" s="7" t="s">
        <v>24</v>
      </c>
      <c r="B19" s="12">
        <f>VLOOKUP(A19, Dataset!$A$1:$X$40, MATCH("car1", Dataset!$A$1:$X$1, 0), 0)</f>
        <v>34.700000000000003</v>
      </c>
      <c r="C19" s="12">
        <f>VLOOKUP($A19, Dataset!$A$1:$X$40, MATCH("bus2", Dataset!$A$1:$X$1, 0), 0)</f>
        <v>106.1</v>
      </c>
      <c r="D19" s="12">
        <f>VLOOKUP($A19, Dataset!$A$1:$X$40, MATCH("rv3", Dataset!$A$1:$X$1, 0), 0)</f>
        <v>63.6</v>
      </c>
      <c r="E19" s="12">
        <f>VLOOKUP($A19, Dataset!$A$1:$X$40, MATCH("truck2", Dataset!$A$1:$X$1, 0), 0)</f>
        <v>128.6</v>
      </c>
      <c r="F19" s="12">
        <f>VLOOKUP($A19, Dataset!$A$1:$X$40, MATCH("taxi2", Dataset!$A$1:$X$1, 0), 0)</f>
        <v>63.6</v>
      </c>
    </row>
    <row r="20" spans="1:6" ht="15" x14ac:dyDescent="0.25">
      <c r="A20" s="7" t="s">
        <v>28</v>
      </c>
      <c r="B20" s="12">
        <f>VLOOKUP(A20, Dataset!$A$1:$X$40, MATCH("car1", Dataset!$A$1:$X$1, 0), 0)</f>
        <v>0</v>
      </c>
      <c r="C20" s="12">
        <f>VLOOKUP($A20, Dataset!$A$1:$X$40, MATCH("bus2", Dataset!$A$1:$X$1, 0), 0)</f>
        <v>0</v>
      </c>
      <c r="D20" s="12">
        <f>VLOOKUP($A20, Dataset!$A$1:$X$40, MATCH("rv3", Dataset!$A$1:$X$1, 0), 0)</f>
        <v>0</v>
      </c>
      <c r="E20" s="12">
        <f>VLOOKUP($A20, Dataset!$A$1:$X$40, MATCH("truck2", Dataset!$A$1:$X$1, 0), 0)</f>
        <v>0</v>
      </c>
      <c r="F20" s="12">
        <f>VLOOKUP($A20, Dataset!$A$1:$X$40, MATCH("taxi2", Dataset!$A$1:$X$1, 0), 0)</f>
        <v>0</v>
      </c>
    </row>
    <row r="21" spans="1:6" ht="15" x14ac:dyDescent="0.25">
      <c r="A21" s="7" t="s">
        <v>57</v>
      </c>
      <c r="B21" s="12">
        <f>VLOOKUP(A21, Dataset!$A$1:$X$40, MATCH("car1", Dataset!$A$1:$X$1, 0), 0)</f>
        <v>41.3</v>
      </c>
      <c r="C21" s="12">
        <f>VLOOKUP($A21, Dataset!$A$1:$X$40, MATCH("bus2", Dataset!$A$1:$X$1, 0), 0)</f>
        <v>124.4</v>
      </c>
      <c r="D21" s="12">
        <f>VLOOKUP($A21, Dataset!$A$1:$X$40, MATCH("rv3", Dataset!$A$1:$X$1, 0), 0)</f>
        <v>75</v>
      </c>
      <c r="E21" s="12">
        <f>VLOOKUP($A21, Dataset!$A$1:$X$40, MATCH("truck2", Dataset!$A$1:$X$1, 0), 0)</f>
        <v>151.5</v>
      </c>
      <c r="F21" s="12">
        <f>VLOOKUP($A21, Dataset!$A$1:$X$40, MATCH("taxi2", Dataset!$A$1:$X$1, 0), 0)</f>
        <v>75</v>
      </c>
    </row>
    <row r="22" spans="1:6" ht="15" x14ac:dyDescent="0.25">
      <c r="A22" s="7" t="s">
        <v>58</v>
      </c>
      <c r="B22" s="12">
        <f>VLOOKUP(A22, Dataset!$A$1:$X$40, MATCH("car1", Dataset!$A$1:$X$1, 0), 0)</f>
        <v>-1</v>
      </c>
      <c r="C22" s="12">
        <f>VLOOKUP($A22, Dataset!$A$1:$X$40, MATCH("bus2", Dataset!$A$1:$X$1, 0), 0)</f>
        <v>-1</v>
      </c>
      <c r="D22" s="12">
        <f>VLOOKUP($A22, Dataset!$A$1:$X$40, MATCH("rv3", Dataset!$A$1:$X$1, 0), 0)</f>
        <v>-1</v>
      </c>
      <c r="E22" s="12">
        <f>VLOOKUP($A22, Dataset!$A$1:$X$40, MATCH("truck2", Dataset!$A$1:$X$1, 0), 0)</f>
        <v>-1</v>
      </c>
      <c r="F22" s="12">
        <f>VLOOKUP($A22, Dataset!$A$1:$X$40, MATCH("taxi2", Dataset!$A$1:$X$1, 0), 0)</f>
        <v>-1</v>
      </c>
    </row>
    <row r="23" spans="1:6" ht="15" x14ac:dyDescent="0.25">
      <c r="A23" s="7" t="s">
        <v>31</v>
      </c>
      <c r="B23" s="12">
        <f>VLOOKUP(A23, Dataset!$A$1:$X$40, MATCH("car1", Dataset!$A$1:$X$1, 0), 0)</f>
        <v>45</v>
      </c>
      <c r="C23" s="12">
        <f>VLOOKUP($A23, Dataset!$A$1:$X$40, MATCH("bus2", Dataset!$A$1:$X$1, 0), 0)</f>
        <v>133.4</v>
      </c>
      <c r="D23" s="12">
        <f>VLOOKUP($A23, Dataset!$A$1:$X$40, MATCH("rv3", Dataset!$A$1:$X$1, 0), 0)</f>
        <v>79.400000000000006</v>
      </c>
      <c r="E23" s="12">
        <f>VLOOKUP($A23, Dataset!$A$1:$X$40, MATCH("truck2", Dataset!$A$1:$X$1, 0), 0)</f>
        <v>160.9</v>
      </c>
      <c r="F23" s="12">
        <f>VLOOKUP($A23, Dataset!$A$1:$X$40, MATCH("taxi2", Dataset!$A$1:$X$1, 0), 0)</f>
        <v>79.400000000000006</v>
      </c>
    </row>
    <row r="24" spans="1:6" ht="15" x14ac:dyDescent="0.25">
      <c r="A24" s="7" t="s">
        <v>32</v>
      </c>
      <c r="B24" s="12">
        <f>VLOOKUP(A24, Dataset!$A$1:$X$40, MATCH("car1", Dataset!$A$1:$X$1, 0), 0)</f>
        <v>-1</v>
      </c>
      <c r="C24" s="12">
        <f>VLOOKUP($A24, Dataset!$A$1:$X$40, MATCH("bus2", Dataset!$A$1:$X$1, 0), 0)</f>
        <v>-1</v>
      </c>
      <c r="D24" s="12">
        <f>VLOOKUP($A24, Dataset!$A$1:$X$40, MATCH("rv3", Dataset!$A$1:$X$1, 0), 0)</f>
        <v>-1</v>
      </c>
      <c r="E24" s="12">
        <f>VLOOKUP($A24, Dataset!$A$1:$X$40, MATCH("truck2", Dataset!$A$1:$X$1, 0), 0)</f>
        <v>-1</v>
      </c>
      <c r="F24" s="12">
        <f>VLOOKUP($A24, Dataset!$A$1:$X$40, MATCH("taxi2", Dataset!$A$1:$X$1, 0), 0)</f>
        <v>-1</v>
      </c>
    </row>
    <row r="25" spans="1:6" ht="15" x14ac:dyDescent="0.25">
      <c r="A25" s="7" t="s">
        <v>34</v>
      </c>
      <c r="B25" s="12">
        <f>VLOOKUP(A25, Dataset!$A$1:$X$40, MATCH("car1", Dataset!$A$1:$X$1, 0), 0)</f>
        <v>43.3</v>
      </c>
      <c r="C25" s="12">
        <f>VLOOKUP($A25, Dataset!$A$1:$X$40, MATCH("bus2", Dataset!$A$1:$X$1, 0), 0)</f>
        <v>128.6</v>
      </c>
      <c r="D25" s="12">
        <f>VLOOKUP($A25, Dataset!$A$1:$X$40, MATCH("rv3", Dataset!$A$1:$X$1, 0), 0)</f>
        <v>79.400000000000006</v>
      </c>
      <c r="E25" s="12">
        <f>VLOOKUP($A25, Dataset!$A$1:$X$40, MATCH("truck2", Dataset!$A$1:$X$1, 0), 0)</f>
        <v>160.9</v>
      </c>
      <c r="F25" s="12">
        <f>VLOOKUP($A25, Dataset!$A$1:$X$40, MATCH("taxi2", Dataset!$A$1:$X$1, 0), 0)</f>
        <v>79.400000000000006</v>
      </c>
    </row>
    <row r="26" spans="1:6" ht="15" x14ac:dyDescent="0.25">
      <c r="A26" s="7" t="s">
        <v>37</v>
      </c>
      <c r="B26" s="12">
        <f>VLOOKUP(A26, Dataset!$A$1:$X$40, MATCH("car1", Dataset!$A$1:$X$1, 0), 0)</f>
        <v>49.1</v>
      </c>
      <c r="C26" s="12">
        <f>VLOOKUP($A26, Dataset!$A$1:$X$40, MATCH("bus2", Dataset!$A$1:$X$1, 0), 0)</f>
        <v>146.80000000000001</v>
      </c>
      <c r="D26" s="12">
        <f>VLOOKUP($A26, Dataset!$A$1:$X$40, MATCH("rv3", Dataset!$A$1:$X$1, 0), 0)</f>
        <v>90.9</v>
      </c>
      <c r="E26" s="12">
        <f>VLOOKUP($A26, Dataset!$A$1:$X$40, MATCH("truck2", Dataset!$A$1:$X$1, 0), 0)</f>
        <v>183.5</v>
      </c>
      <c r="F26" s="12">
        <f>VLOOKUP($A26, Dataset!$A$1:$X$40, MATCH("taxi2", Dataset!$A$1:$X$1, 0), 0)</f>
        <v>90.9</v>
      </c>
    </row>
    <row r="27" spans="1:6" ht="15" x14ac:dyDescent="0.25">
      <c r="A27" s="7" t="s">
        <v>39</v>
      </c>
      <c r="B27" s="12">
        <f>VLOOKUP(A27, Dataset!$A$1:$X$40, MATCH("car1", Dataset!$A$1:$X$1, 0), 0)</f>
        <v>51.8</v>
      </c>
      <c r="C27" s="12">
        <f>VLOOKUP($A27, Dataset!$A$1:$X$40, MATCH("bus2", Dataset!$A$1:$X$1, 0), 0)</f>
        <v>156.4</v>
      </c>
      <c r="D27" s="12">
        <f>VLOOKUP($A27, Dataset!$A$1:$X$40, MATCH("rv3", Dataset!$A$1:$X$1, 0), 0)</f>
        <v>93.1</v>
      </c>
      <c r="E27" s="12">
        <f>VLOOKUP($A27, Dataset!$A$1:$X$40, MATCH("truck2", Dataset!$A$1:$X$1, 0), 0)</f>
        <v>188.1</v>
      </c>
      <c r="F27" s="12">
        <f>VLOOKUP($A27, Dataset!$A$1:$X$40, MATCH("taxi2", Dataset!$A$1:$X$1, 0), 0)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76.204545454545453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opLeftCell="A5" zoomScale="96" zoomScaleNormal="100" workbookViewId="0">
      <selection activeCell="B5" sqref="B5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39"/>
    </row>
    <row r="6" spans="1:10" ht="18.75" x14ac:dyDescent="0.3">
      <c r="A6" s="42" t="s">
        <v>153</v>
      </c>
      <c r="B6" s="39"/>
    </row>
    <row r="7" spans="1:10" ht="18.75" x14ac:dyDescent="0.3">
      <c r="A7" s="42"/>
      <c r="B7" s="39"/>
    </row>
    <row r="9" spans="1:10" ht="23.25" x14ac:dyDescent="0.35">
      <c r="A9" s="18" t="s">
        <v>165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162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121</v>
      </c>
      <c r="B16" s="12">
        <v>20000</v>
      </c>
      <c r="C16" s="12" t="s">
        <v>5</v>
      </c>
      <c r="D16" s="12">
        <v>0</v>
      </c>
      <c r="E16" s="12" t="s">
        <v>6</v>
      </c>
      <c r="F16" s="12">
        <v>24</v>
      </c>
    </row>
    <row r="17" spans="1:6" x14ac:dyDescent="0.25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120</v>
      </c>
      <c r="B54" s="12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2"/>
  <sheetViews>
    <sheetView zoomScaleNormal="100" workbookViewId="0">
      <selection activeCell="H17" sqref="H17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4" ht="21" x14ac:dyDescent="0.35">
      <c r="A1" s="41" t="s">
        <v>85</v>
      </c>
      <c r="B1" s="40" t="s">
        <v>167</v>
      </c>
    </row>
    <row r="2" spans="1:4" ht="18.75" x14ac:dyDescent="0.3">
      <c r="B2" s="39" t="s">
        <v>166</v>
      </c>
    </row>
    <row r="5" spans="1:4" ht="15" x14ac:dyDescent="0.25">
      <c r="B5" s="1" t="s">
        <v>151</v>
      </c>
    </row>
    <row r="6" spans="1:4" ht="15" x14ac:dyDescent="0.25">
      <c r="A6" s="3" t="s">
        <v>53</v>
      </c>
      <c r="B6" s="48" t="s">
        <v>178</v>
      </c>
      <c r="C6" s="49"/>
      <c r="D6" s="49"/>
    </row>
    <row r="7" spans="1:4" ht="15" x14ac:dyDescent="0.25">
      <c r="A7" s="3" t="s">
        <v>153</v>
      </c>
      <c r="B7" s="1"/>
    </row>
    <row r="10" spans="1:4" ht="23.25" x14ac:dyDescent="0.35">
      <c r="A10" s="18" t="s">
        <v>162</v>
      </c>
    </row>
    <row r="11" spans="1:4" ht="15" x14ac:dyDescent="0.25">
      <c r="A11" s="32" t="s">
        <v>86</v>
      </c>
      <c r="B11" s="17" t="s">
        <v>87</v>
      </c>
      <c r="C11" s="17" t="s">
        <v>88</v>
      </c>
    </row>
    <row r="12" spans="1:4" ht="15" x14ac:dyDescent="0.25">
      <c r="A12" s="32">
        <v>44927</v>
      </c>
      <c r="B12" s="17" t="s">
        <v>59</v>
      </c>
      <c r="C12" s="17">
        <v>200</v>
      </c>
    </row>
    <row r="13" spans="1:4" ht="15" x14ac:dyDescent="0.25">
      <c r="A13" s="32">
        <v>44928</v>
      </c>
      <c r="B13" s="17" t="s">
        <v>60</v>
      </c>
      <c r="C13" s="17">
        <v>0</v>
      </c>
    </row>
    <row r="14" spans="1:4" ht="15" x14ac:dyDescent="0.25">
      <c r="A14" s="32">
        <v>44929</v>
      </c>
      <c r="B14" s="17" t="s">
        <v>61</v>
      </c>
      <c r="C14" s="17">
        <v>50</v>
      </c>
    </row>
    <row r="15" spans="1:4" ht="15" x14ac:dyDescent="0.25">
      <c r="A15" s="32">
        <v>44930</v>
      </c>
      <c r="B15" s="17" t="s">
        <v>62</v>
      </c>
      <c r="C15" s="17">
        <v>0</v>
      </c>
    </row>
    <row r="16" spans="1:4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154</v>
      </c>
      <c r="C17" s="17">
        <v>150</v>
      </c>
    </row>
    <row r="18" spans="1:3" ht="15" x14ac:dyDescent="0.25">
      <c r="A18" s="32">
        <v>44933</v>
      </c>
      <c r="B18" s="17" t="s">
        <v>155</v>
      </c>
      <c r="C18" s="17">
        <v>80</v>
      </c>
    </row>
    <row r="19" spans="1:3" ht="15" x14ac:dyDescent="0.25">
      <c r="A19" s="32">
        <v>44934</v>
      </c>
      <c r="B19" s="17" t="s">
        <v>156</v>
      </c>
      <c r="C19" s="17">
        <v>0</v>
      </c>
    </row>
    <row r="20" spans="1:3" ht="15" x14ac:dyDescent="0.25">
      <c r="A20" s="32">
        <v>44935</v>
      </c>
      <c r="B20" s="17" t="s">
        <v>157</v>
      </c>
      <c r="C20" s="17">
        <v>30</v>
      </c>
    </row>
    <row r="21" spans="1:3" ht="15" x14ac:dyDescent="0.25">
      <c r="A21" s="32">
        <v>44936</v>
      </c>
      <c r="B21" s="17" t="s">
        <v>158</v>
      </c>
      <c r="C21" s="17">
        <v>0</v>
      </c>
    </row>
    <row r="22" spans="1:3" ht="15" x14ac:dyDescent="0.25">
      <c r="B22" s="17" t="s">
        <v>159</v>
      </c>
      <c r="C22" s="25">
        <f>SUM(C12:C21)</f>
        <v>520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3"/>
  <sheetViews>
    <sheetView tabSelected="1" topLeftCell="C8" zoomScaleNormal="100" workbookViewId="0">
      <selection activeCell="U10" sqref="U10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21" ht="21" x14ac:dyDescent="0.35">
      <c r="A1" s="41" t="s">
        <v>98</v>
      </c>
      <c r="B1" s="40" t="s">
        <v>175</v>
      </c>
    </row>
    <row r="3" spans="1:21" ht="15" x14ac:dyDescent="0.25">
      <c r="B3" s="1" t="s">
        <v>151</v>
      </c>
    </row>
    <row r="4" spans="1:21" ht="18.75" x14ac:dyDescent="0.3">
      <c r="A4" s="42" t="s">
        <v>53</v>
      </c>
      <c r="B4" s="1"/>
    </row>
    <row r="5" spans="1:21" ht="18.75" x14ac:dyDescent="0.3">
      <c r="A5" s="42" t="s">
        <v>153</v>
      </c>
      <c r="B5" s="1"/>
    </row>
    <row r="6" spans="1:21" ht="15" x14ac:dyDescent="0.25">
      <c r="A6" s="3"/>
      <c r="B6" s="1"/>
    </row>
    <row r="8" spans="1:21" ht="23.25" x14ac:dyDescent="0.35">
      <c r="A8" s="18" t="s">
        <v>162</v>
      </c>
      <c r="M8" s="18" t="s">
        <v>163</v>
      </c>
      <c r="Q8" s="18" t="s">
        <v>168</v>
      </c>
    </row>
    <row r="9" spans="1:21" ht="15" x14ac:dyDescent="0.25">
      <c r="A9" s="51" t="s">
        <v>179</v>
      </c>
      <c r="B9" s="52" t="s">
        <v>89</v>
      </c>
      <c r="C9" s="52" t="s">
        <v>90</v>
      </c>
      <c r="D9" s="52" t="s">
        <v>91</v>
      </c>
      <c r="E9" s="52" t="s">
        <v>92</v>
      </c>
      <c r="F9" s="52" t="s">
        <v>93</v>
      </c>
      <c r="G9" s="52" t="s">
        <v>94</v>
      </c>
      <c r="H9" s="52" t="s">
        <v>95</v>
      </c>
      <c r="I9" s="52" t="s">
        <v>96</v>
      </c>
      <c r="J9" s="53" t="s">
        <v>97</v>
      </c>
      <c r="M9" s="19" t="s">
        <v>43</v>
      </c>
      <c r="N9" s="19" t="s">
        <v>99</v>
      </c>
      <c r="Q9" s="14" t="s">
        <v>100</v>
      </c>
      <c r="R9" s="17" t="s">
        <v>101</v>
      </c>
      <c r="S9" s="16"/>
      <c r="T9" s="16"/>
      <c r="U9" s="16" t="s">
        <v>102</v>
      </c>
    </row>
    <row r="10" spans="1:21" ht="15" x14ac:dyDescent="0.25">
      <c r="A10" s="50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37">
        <v>525</v>
      </c>
      <c r="M10" s="12">
        <v>10100</v>
      </c>
      <c r="N10" s="12" t="s">
        <v>89</v>
      </c>
      <c r="Q10" s="7">
        <v>10100</v>
      </c>
      <c r="R10" s="12">
        <v>10102</v>
      </c>
      <c r="S10" s="8" t="str">
        <f>VLOOKUP(Q10,$M10:$N18, 2, FALSE)</f>
        <v>A</v>
      </c>
      <c r="T10" s="8" t="str">
        <f>VLOOKUP(R10,$M$10:$N$18, 2, FALSE)</f>
        <v>B</v>
      </c>
      <c r="U10" s="43" t="e">
        <f>VLOOKUP(S10:T10, Table1[[Column1]:[A]], 2, FALSE)</f>
        <v>#VALUE!</v>
      </c>
    </row>
    <row r="11" spans="1:21" ht="15" x14ac:dyDescent="0.25">
      <c r="A11" s="50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37">
        <v>430</v>
      </c>
      <c r="M11" s="12">
        <v>10102</v>
      </c>
      <c r="N11" s="12" t="s">
        <v>90</v>
      </c>
      <c r="Q11" s="7">
        <v>10100</v>
      </c>
      <c r="R11" s="12">
        <v>10104</v>
      </c>
      <c r="S11" s="8" t="str">
        <f>VLOOKUP(Q11,$M$10:$N$18, 2, FALSE)</f>
        <v>A</v>
      </c>
      <c r="T11" s="8" t="str">
        <f t="shared" ref="T11:T23" si="0">VLOOKUP(R11,$M$10:$N$18, 2, FALSE)</f>
        <v>C</v>
      </c>
      <c r="U11" s="43"/>
    </row>
    <row r="12" spans="1:21" ht="15" x14ac:dyDescent="0.25">
      <c r="A12" s="50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37">
        <v>400</v>
      </c>
      <c r="M12" s="12">
        <v>10104</v>
      </c>
      <c r="N12" s="12" t="s">
        <v>91</v>
      </c>
      <c r="Q12" s="7">
        <v>10108</v>
      </c>
      <c r="R12" s="12">
        <v>10102</v>
      </c>
      <c r="S12" s="8" t="str">
        <f>VLOOKUP(Q12,$M$10:$N$18, 2, FALSE)</f>
        <v>E</v>
      </c>
      <c r="T12" s="8" t="str">
        <f t="shared" si="0"/>
        <v>B</v>
      </c>
      <c r="U12" s="43"/>
    </row>
    <row r="13" spans="1:21" ht="15" x14ac:dyDescent="0.25">
      <c r="A13" s="50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37">
        <v>340</v>
      </c>
      <c r="M13" s="12">
        <v>10106</v>
      </c>
      <c r="N13" s="12" t="s">
        <v>92</v>
      </c>
      <c r="Q13" s="7">
        <v>10100</v>
      </c>
      <c r="R13" s="12">
        <v>10106</v>
      </c>
      <c r="S13" s="8" t="str">
        <f>VLOOKUP(Q13,$M$10:$N$18, 2, FALSE)</f>
        <v>A</v>
      </c>
      <c r="T13" s="8" t="str">
        <f t="shared" si="0"/>
        <v>D</v>
      </c>
      <c r="U13" s="43"/>
    </row>
    <row r="14" spans="1:21" ht="15" x14ac:dyDescent="0.25">
      <c r="A14" s="50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37">
        <v>270</v>
      </c>
      <c r="M14" s="12">
        <v>10108</v>
      </c>
      <c r="N14" s="12" t="s">
        <v>93</v>
      </c>
      <c r="Q14" s="7">
        <v>10108</v>
      </c>
      <c r="R14" s="12">
        <v>10110</v>
      </c>
      <c r="S14" s="8" t="str">
        <f t="shared" ref="S14:S22" si="1">VLOOKUP(Q14,$M$10:$N$18, 2, FALSE)</f>
        <v>E</v>
      </c>
      <c r="T14" s="8" t="str">
        <f t="shared" si="0"/>
        <v>F</v>
      </c>
      <c r="U14" s="43"/>
    </row>
    <row r="15" spans="1:21" ht="15" x14ac:dyDescent="0.25">
      <c r="A15" s="50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37">
        <v>220</v>
      </c>
      <c r="M15" s="12">
        <v>10110</v>
      </c>
      <c r="N15" s="12" t="s">
        <v>94</v>
      </c>
      <c r="Q15" s="7">
        <v>10102</v>
      </c>
      <c r="R15" s="12">
        <v>10104</v>
      </c>
      <c r="S15" s="8" t="str">
        <f t="shared" si="1"/>
        <v>B</v>
      </c>
      <c r="T15" s="8" t="str">
        <f t="shared" si="0"/>
        <v>C</v>
      </c>
      <c r="U15" s="43"/>
    </row>
    <row r="16" spans="1:21" ht="15" x14ac:dyDescent="0.25">
      <c r="A16" s="50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37">
        <v>105</v>
      </c>
      <c r="M16" s="12">
        <v>10112</v>
      </c>
      <c r="N16" s="12" t="s">
        <v>95</v>
      </c>
      <c r="Q16" s="7">
        <v>10106</v>
      </c>
      <c r="R16" s="12">
        <v>10108</v>
      </c>
      <c r="S16" s="8" t="str">
        <f t="shared" si="1"/>
        <v>D</v>
      </c>
      <c r="T16" s="8" t="str">
        <f t="shared" si="0"/>
        <v>E</v>
      </c>
      <c r="U16" s="43"/>
    </row>
    <row r="17" spans="1:21" ht="15" x14ac:dyDescent="0.25">
      <c r="A17" s="50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37">
        <v>40</v>
      </c>
      <c r="M17" s="12">
        <v>10114</v>
      </c>
      <c r="N17" s="12" t="s">
        <v>96</v>
      </c>
      <c r="Q17" s="7">
        <v>10102</v>
      </c>
      <c r="R17" s="12">
        <v>10106</v>
      </c>
      <c r="S17" s="8" t="str">
        <f t="shared" si="1"/>
        <v>B</v>
      </c>
      <c r="T17" s="8" t="str">
        <f t="shared" si="0"/>
        <v>D</v>
      </c>
      <c r="U17" s="43"/>
    </row>
    <row r="18" spans="1:21" ht="15" x14ac:dyDescent="0.25">
      <c r="A18" s="54" t="s">
        <v>97</v>
      </c>
      <c r="B18" s="55">
        <v>525</v>
      </c>
      <c r="C18" s="55">
        <v>430</v>
      </c>
      <c r="D18" s="55">
        <v>400</v>
      </c>
      <c r="E18" s="55">
        <v>340</v>
      </c>
      <c r="F18" s="55">
        <v>270</v>
      </c>
      <c r="G18" s="55">
        <v>220</v>
      </c>
      <c r="H18" s="55">
        <v>105</v>
      </c>
      <c r="I18" s="55">
        <v>40</v>
      </c>
      <c r="J18" s="56">
        <v>-1</v>
      </c>
      <c r="M18" s="13">
        <v>10116</v>
      </c>
      <c r="N18" s="13" t="s">
        <v>97</v>
      </c>
      <c r="Q18" s="7">
        <v>10110</v>
      </c>
      <c r="R18" s="12">
        <v>10114</v>
      </c>
      <c r="S18" s="8" t="str">
        <f t="shared" si="1"/>
        <v>F</v>
      </c>
      <c r="T18" s="8" t="str">
        <f t="shared" si="0"/>
        <v>H</v>
      </c>
      <c r="U18" s="43"/>
    </row>
    <row r="19" spans="1:21" ht="15" x14ac:dyDescent="0.25">
      <c r="Q19" s="7">
        <v>10104</v>
      </c>
      <c r="R19" s="12">
        <v>10106</v>
      </c>
      <c r="S19" s="8" t="str">
        <f t="shared" si="1"/>
        <v>C</v>
      </c>
      <c r="T19" s="8" t="str">
        <f t="shared" si="0"/>
        <v>D</v>
      </c>
      <c r="U19" s="43"/>
    </row>
    <row r="20" spans="1:21" ht="15" x14ac:dyDescent="0.25">
      <c r="Q20" s="7">
        <v>10110</v>
      </c>
      <c r="R20" s="12">
        <v>10112</v>
      </c>
      <c r="S20" s="8" t="str">
        <f t="shared" si="1"/>
        <v>F</v>
      </c>
      <c r="T20" s="8" t="str">
        <f t="shared" si="0"/>
        <v>G</v>
      </c>
      <c r="U20" s="43"/>
    </row>
    <row r="21" spans="1:21" ht="15" x14ac:dyDescent="0.25">
      <c r="Q21" s="7">
        <v>10100</v>
      </c>
      <c r="R21" s="12">
        <v>10114</v>
      </c>
      <c r="S21" s="8" t="str">
        <f t="shared" si="1"/>
        <v>A</v>
      </c>
      <c r="T21" s="8" t="str">
        <f t="shared" si="0"/>
        <v>H</v>
      </c>
      <c r="U21" s="43"/>
    </row>
    <row r="22" spans="1:21" ht="15" x14ac:dyDescent="0.25">
      <c r="Q22" s="9">
        <v>10112</v>
      </c>
      <c r="R22" s="13">
        <v>10116</v>
      </c>
      <c r="S22" s="8" t="str">
        <f t="shared" si="1"/>
        <v>G</v>
      </c>
      <c r="T22" s="8" t="str">
        <f t="shared" si="0"/>
        <v>I</v>
      </c>
      <c r="U22" s="44"/>
    </row>
    <row r="23" spans="1:21" ht="15" x14ac:dyDescent="0.25">
      <c r="T23" s="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E7E95A-592D-4BFF-BC88-724686D6C4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Abhishek Singh</cp:lastModifiedBy>
  <dcterms:created xsi:type="dcterms:W3CDTF">2015-02-10T17:33:11Z</dcterms:created>
  <dcterms:modified xsi:type="dcterms:W3CDTF">2023-12-10T14:40:25Z</dcterms:modified>
</cp:coreProperties>
</file>